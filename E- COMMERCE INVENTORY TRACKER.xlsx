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HUBHAM RAI\Downloads\"/>
    </mc:Choice>
  </mc:AlternateContent>
  <xr:revisionPtr revIDLastSave="0" documentId="13_ncr:1_{4D9A5A20-B84D-4CA7-9B1F-00A4567BC7D1}" xr6:coauthVersionLast="36" xr6:coauthVersionMax="36" xr10:uidLastSave="{00000000-0000-0000-0000-000000000000}"/>
  <bookViews>
    <workbookView xWindow="0" yWindow="0" windowWidth="20490" windowHeight="8940" xr2:uid="{00000000-000D-0000-FFFF-FFFF00000000}"/>
  </bookViews>
  <sheets>
    <sheet name="INVENTORY DASHBOARD" sheetId="1" r:id="rId1"/>
  </sheets>
  <definedNames>
    <definedName name="SlicerCache_Table_1_Col_2">#N/A</definedName>
    <definedName name="Z_CDA6F17A_8541_4204_8FC5_6BC276177015_.wvu.FilterData" localSheetId="0" hidden="1">'INVENTORY DASHBOARD'!$A$1:$I$21</definedName>
  </definedNames>
  <calcPr calcId="191029"/>
  <customWorkbookViews>
    <customWorkbookView name="Filter 1" guid="{CDA6F17A-8541-4204-8FC5-6BC276177015}"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G21" i="1" l="1"/>
  <c r="I21" i="1" s="1"/>
  <c r="G20" i="1"/>
  <c r="H20" i="1" s="1"/>
  <c r="G19" i="1"/>
  <c r="H19" i="1" s="1"/>
  <c r="G18" i="1"/>
  <c r="H18" i="1" s="1"/>
  <c r="G17" i="1"/>
  <c r="I17" i="1" s="1"/>
  <c r="G16" i="1"/>
  <c r="H16" i="1" s="1"/>
  <c r="G15" i="1"/>
  <c r="H15" i="1" s="1"/>
  <c r="G14" i="1"/>
  <c r="H14" i="1" s="1"/>
  <c r="G13" i="1"/>
  <c r="I13" i="1" s="1"/>
  <c r="G12" i="1"/>
  <c r="H12" i="1" s="1"/>
  <c r="G11" i="1"/>
  <c r="I11" i="1" s="1"/>
  <c r="G10" i="1"/>
  <c r="H10" i="1" s="1"/>
  <c r="G9" i="1"/>
  <c r="I9" i="1" s="1"/>
  <c r="G8" i="1"/>
  <c r="H8" i="1" s="1"/>
  <c r="G7" i="1"/>
  <c r="I7" i="1" s="1"/>
  <c r="G6" i="1"/>
  <c r="H6" i="1" s="1"/>
  <c r="G5" i="1"/>
  <c r="I5" i="1" s="1"/>
  <c r="G4" i="1"/>
  <c r="I4" i="1" s="1"/>
  <c r="G3" i="1"/>
  <c r="L3" i="1"/>
  <c r="G2" i="1"/>
  <c r="I2" i="1" s="1"/>
  <c r="H7" i="1" l="1"/>
  <c r="H2" i="1"/>
  <c r="H11" i="1"/>
  <c r="H3" i="1"/>
  <c r="I3" i="1" s="1"/>
  <c r="H4" i="1"/>
  <c r="H5" i="1"/>
  <c r="H9" i="1"/>
  <c r="H13" i="1"/>
  <c r="I15" i="1"/>
  <c r="H17" i="1"/>
  <c r="I19" i="1"/>
  <c r="H21" i="1"/>
  <c r="I6" i="1"/>
  <c r="I8" i="1"/>
  <c r="I10" i="1"/>
  <c r="I12" i="1"/>
  <c r="I14" i="1"/>
  <c r="I16" i="1"/>
  <c r="I18" i="1"/>
  <c r="I20" i="1"/>
  <c r="L4" i="1" l="1"/>
  <c r="L6" i="1"/>
  <c r="L5" i="1"/>
</calcChain>
</file>

<file path=xl/sharedStrings.xml><?xml version="1.0" encoding="utf-8"?>
<sst xmlns="http://schemas.openxmlformats.org/spreadsheetml/2006/main" count="55" uniqueCount="38">
  <si>
    <t>Item_ID</t>
  </si>
  <si>
    <t>Product_Category</t>
  </si>
  <si>
    <t>Unit_Cost_INR</t>
  </si>
  <si>
    <t>Daily_Sales_Units</t>
  </si>
  <si>
    <t>Lead_Time_Days</t>
  </si>
  <si>
    <t>Current_Stock_Units</t>
  </si>
  <si>
    <t>Safety_Stock</t>
  </si>
  <si>
    <t>Reorder_Point</t>
  </si>
  <si>
    <t>Stock_Status</t>
  </si>
  <si>
    <t>SK-201</t>
  </si>
  <si>
    <t>Electronics</t>
  </si>
  <si>
    <t>Total Inventory Value (INR)</t>
  </si>
  <si>
    <t>SK-202</t>
  </si>
  <si>
    <t>Fashion</t>
  </si>
  <si>
    <t>Critical Stockout Items</t>
  </si>
  <si>
    <t>SK-203</t>
  </si>
  <si>
    <t>Reorder Needed Items</t>
  </si>
  <si>
    <t>SK-204</t>
  </si>
  <si>
    <t>Home &amp; Kitchen</t>
  </si>
  <si>
    <t>Sufficient Stock Items</t>
  </si>
  <si>
    <t>SK-205</t>
  </si>
  <si>
    <t>SK-206</t>
  </si>
  <si>
    <t>SK-207</t>
  </si>
  <si>
    <t>SK-208</t>
  </si>
  <si>
    <t>SK-209</t>
  </si>
  <si>
    <t>SK-210</t>
  </si>
  <si>
    <t>SK-211</t>
  </si>
  <si>
    <t>SK-212</t>
  </si>
  <si>
    <t>SK-213</t>
  </si>
  <si>
    <t>SK-214</t>
  </si>
  <si>
    <t>SK-215</t>
  </si>
  <si>
    <t>SK-216</t>
  </si>
  <si>
    <t>SK-217</t>
  </si>
  <si>
    <t>SK-218</t>
  </si>
  <si>
    <t>SK-219</t>
  </si>
  <si>
    <t>SK-220</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</si>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</sst>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scheme val="minor"/>
    </font>
    <font>
      <sz val="10"/>
      <color rgb="FF1F1F1F"/>
      <name val="&quot;Google Sans Text&quot;"/>
    </font>
    <font>
      <b/>
      <sz val="10"/>
      <color rgb="FF1F1F1F"/>
      <name val="&quot;Google Sans Text&quot;"/>
    </font>
    <font>
      <sz val="10"/>
      <color rgb="FF444746"/>
      <name val="&quot;Google Sans Text&quo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xf numFmtId="0" fontId="2" fillId="0" borderId="0" xfId="0" applyFont="1" applyAlignment="1"/>
    <xf numFmtId="0" fontId="1" fillId="0" borderId="0" xfId="0" applyFont="1"/>
    <xf numFmtId="0" fontId="3" fillId="0" borderId="0" xfId="0" applyFont="1" applyAlignment="1"/>
    <xf numFmtId="0" fontId="4" fillId="0" borderId="0" xfId="0" applyFont="1"/>
  </cellXfs>
  <cellStyles count="1">
    <cellStyle name="Normal" xfId="0" builtinId="0"/>
  </cellStyles>
  <dxfs count="2">
    <dxf>
      <font>
        <b val="0"/>
        <i val="0"/>
        <strike val="0"/>
        <condense val="0"/>
        <extend val="0"/>
        <outline val="0"/>
        <shadow val="0"/>
        <u val="none"/>
        <vertAlign val="baseline"/>
        <sz val="10"/>
        <color rgb="FF444746"/>
        <name val="&quot;Google Sans Text&quot;"/>
        <scheme val="none"/>
      </font>
    </dxf>
    <dxf>
      <font>
        <b/>
        <i val="0"/>
        <strike val="0"/>
        <condense val="0"/>
        <extend val="0"/>
        <outline val="0"/>
        <shadow val="0"/>
        <u val="none"/>
        <vertAlign val="baseline"/>
        <sz val="10"/>
        <color rgb="FF1F1F1F"/>
        <name val="&quot;Google Sans Text&quot;"/>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752475</xdr:colOff>
      <xdr:row>22</xdr:row>
      <xdr:rowOff>66675</xdr:rowOff>
    </xdr:from>
    <xdr:ext cx="5715000" cy="3533775"/>
    <xdr:pic>
      <xdr:nvPicPr>
        <xdr:cNvPr id="591515662" name="Chart1" title="Chart">
          <a:extLst>
            <a:ext uri="{FF2B5EF4-FFF2-40B4-BE49-F238E27FC236}">
              <a16:creationId xmlns:a16="http://schemas.microsoft.com/office/drawing/2014/main" id="{00000000-0008-0000-0000-00000ED0412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xfrm>
          <a:off x="3267075" y="1866900"/>
          <a:ext cx="5715000" cy="3533775"/>
        </a:xfrm>
        <a:prstGeom prst="rect">
          <a:avLst/>
        </a:prstGeom>
        <a:noFill/>
      </xdr:spPr>
    </xdr:pic>
    <xdr:clientData fLocksWithSheet="0"/>
  </xdr:oneCellAnchor>
  <xdr:oneCellAnchor>
    <xdr:from>
      <xdr:col>0</xdr:col>
      <xdr:colOff>485775</xdr:colOff>
      <xdr:row>22</xdr:row>
      <xdr:rowOff>123825</xdr:rowOff>
    </xdr:from>
    <xdr:ext cx="2857500" cy="2857500"/>
    <mc:AlternateContent xmlns:mc="http://schemas.openxmlformats.org/markup-compatibility/2006">
      <mc:Choice xmlns:sle15="http://schemas.microsoft.com/office/drawing/2012/slicer" Requires="sle15">
        <xdr:graphicFrame macro="">
          <xdr:nvGraphicFramePr>
            <xdr:cNvPr id="2" name="Product_Category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roduct_Category_1"/>
            </a:graphicData>
          </a:graphic>
        </xdr:graphicFrame>
      </mc:Choice>
      <mc:Fallback>
        <xdr:sp macro="" textlink="">
          <xdr:nvSpPr>
            <xdr:cNvPr id="0" name=""/>
            <xdr:cNvSpPr>
              <a:spLocks noTextEdit="1"/>
            </xdr:cNvSpPr>
          </xdr:nvSpPr>
          <xdr:spPr>
            <a:xfrm>
              <a:off x="485775" y="4333875"/>
              <a:ext cx="285750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00000000-0013-0000-FFFF-FFFF01000000}" sourceName="Product_Catego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_1" xr10:uid="{00000000-0014-0000-FFFF-FFFF01000000}" cache="SlicerCache_Table_1_Col_2" caption="Product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21">
  <autoFilter ref="A1:I21" xr:uid="{00000000-0009-0000-0100-000001000000}"/>
  <tableColumns count="9">
    <tableColumn id="1" xr3:uid="{00000000-0010-0000-0000-000001000000}" name="Item_ID"/>
    <tableColumn id="2" xr3:uid="{00000000-0010-0000-0000-000002000000}" name="Product_Category"/>
    <tableColumn id="3" xr3:uid="{00000000-0010-0000-0000-000003000000}" name="Unit_Cost_INR"/>
    <tableColumn id="4" xr3:uid="{00000000-0010-0000-0000-000004000000}" name="Daily_Sales_Units"/>
    <tableColumn id="5" xr3:uid="{00000000-0010-0000-0000-000005000000}" name="Lead_Time_Days"/>
    <tableColumn id="6" xr3:uid="{00000000-0010-0000-0000-000006000000}" name="Current_Stock_Units"/>
    <tableColumn id="7" xr3:uid="{00000000-0010-0000-0000-000007000000}" name="Safety_Stock"/>
    <tableColumn id="8" xr3:uid="{00000000-0010-0000-0000-000008000000}" name="Reorder_Point"/>
    <tableColumn id="9" xr3:uid="{00000000-0010-0000-0000-000009000000}" name="Stock_Status"/>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84B546-2884-4835-BFC8-AB531E88A78B}" name="Table2" displayName="Table2" ref="K2:L7" totalsRowShown="0">
  <autoFilter ref="K2:L7" xr:uid="{A85B3B81-2B97-4614-9698-77E31592492E}"/>
  <tableColumns count="2">
    <tableColumn id="1" xr3:uid="{FB40273B-5E9B-4538-94AD-B15049180E41}" name="Column1" dataDxfId="1"/>
    <tableColumn id="2" xr3:uid="{C79F15B0-A904-4B58-BE9D-0F0D8914C3F0}" name="Column2"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1"/>
  <sheetViews>
    <sheetView tabSelected="1" workbookViewId="0">
      <selection activeCell="L16" sqref="L16"/>
    </sheetView>
  </sheetViews>
  <sheetFormatPr defaultColWidth="12.5703125" defaultRowHeight="15.75" customHeight="1"/>
  <cols>
    <col min="2" max="2" width="17.42578125" customWidth="1"/>
    <col min="3" max="3" width="17.28515625" customWidth="1"/>
    <col min="4" max="4" width="14.42578125" customWidth="1"/>
    <col min="5" max="5" width="17.42578125" customWidth="1"/>
    <col min="6" max="6" width="23.28515625" customWidth="1"/>
    <col min="7" max="7" width="16.5703125" customWidth="1"/>
    <col min="8" max="8" width="17.28515625" customWidth="1"/>
    <col min="9" max="9" width="19.28515625" customWidth="1"/>
    <col min="11" max="11" width="26" customWidth="1"/>
    <col min="12" max="12" width="25.140625" customWidth="1"/>
    <col min="13" max="13" width="21.42578125" customWidth="1"/>
    <col min="14" max="14" width="20.140625" customWidth="1"/>
  </cols>
  <sheetData>
    <row r="1" spans="1:12">
      <c r="A1" s="1" t="s">
        <v>0</v>
      </c>
      <c r="B1" s="1" t="s">
        <v>1</v>
      </c>
      <c r="C1" s="1" t="s">
        <v>2</v>
      </c>
      <c r="D1" s="1" t="s">
        <v>3</v>
      </c>
      <c r="E1" s="1" t="s">
        <v>4</v>
      </c>
      <c r="F1" s="1" t="s">
        <v>5</v>
      </c>
      <c r="G1" s="1" t="s">
        <v>6</v>
      </c>
      <c r="H1" s="1" t="s">
        <v>7</v>
      </c>
      <c r="I1" s="1" t="s">
        <v>8</v>
      </c>
      <c r="K1" s="2"/>
      <c r="L1" s="2"/>
    </row>
    <row r="2" spans="1:12" ht="12.75">
      <c r="A2" s="1" t="s">
        <v>9</v>
      </c>
      <c r="B2" s="1" t="s">
        <v>10</v>
      </c>
      <c r="C2" s="1">
        <v>1200</v>
      </c>
      <c r="D2" s="1">
        <v>15</v>
      </c>
      <c r="E2" s="1">
        <v>5</v>
      </c>
      <c r="F2" s="1">
        <v>20</v>
      </c>
      <c r="G2" s="3">
        <f t="shared" ref="G2:G21" si="0">D2*2</f>
        <v>30</v>
      </c>
      <c r="H2" s="3" t="b">
        <f t="shared" ref="H2:H21" si="1">(D2*E2)=G2</f>
        <v>0</v>
      </c>
      <c r="I2" s="3" t="str">
        <f t="shared" ref="I2:I21" si="2">IF(F2&lt;G2, "Critical Stockout", IF(F2&lt;=H2, "Reorder Now", "Sufficient"))</f>
        <v>Critical Stockout</v>
      </c>
      <c r="K2" s="4" t="s">
        <v>36</v>
      </c>
      <c r="L2" s="5" t="s">
        <v>37</v>
      </c>
    </row>
    <row r="3" spans="1:12" ht="12.75">
      <c r="A3" s="1" t="s">
        <v>12</v>
      </c>
      <c r="B3" s="1" t="s">
        <v>13</v>
      </c>
      <c r="C3" s="1">
        <v>450</v>
      </c>
      <c r="D3" s="1">
        <v>40</v>
      </c>
      <c r="E3" s="1">
        <v>3</v>
      </c>
      <c r="F3" s="1">
        <v>150</v>
      </c>
      <c r="G3" s="3">
        <f t="shared" si="0"/>
        <v>80</v>
      </c>
      <c r="H3" s="3" t="b">
        <f t="shared" si="1"/>
        <v>0</v>
      </c>
      <c r="I3" s="3" t="str">
        <f t="shared" si="2"/>
        <v>Reorder Now</v>
      </c>
      <c r="K3" s="4" t="s">
        <v>11</v>
      </c>
      <c r="L3" s="5">
        <f>SUMPRODUCT(C2:C21, F2:F21)</f>
        <v>907800</v>
      </c>
    </row>
    <row r="4" spans="1:12" ht="12.75">
      <c r="A4" s="1" t="s">
        <v>15</v>
      </c>
      <c r="B4" s="1" t="s">
        <v>10</v>
      </c>
      <c r="C4" s="1">
        <v>2500</v>
      </c>
      <c r="D4" s="1">
        <v>8</v>
      </c>
      <c r="E4" s="1">
        <v>7</v>
      </c>
      <c r="F4" s="1">
        <v>12</v>
      </c>
      <c r="G4" s="3">
        <f t="shared" si="0"/>
        <v>16</v>
      </c>
      <c r="H4" s="3" t="b">
        <f t="shared" si="1"/>
        <v>0</v>
      </c>
      <c r="I4" s="3" t="str">
        <f t="shared" si="2"/>
        <v>Critical Stockout</v>
      </c>
      <c r="K4" s="4" t="s">
        <v>14</v>
      </c>
      <c r="L4" s="5">
        <f>COUNTIF(I2:I21, "Critical Stockout")</f>
        <v>11</v>
      </c>
    </row>
    <row r="5" spans="1:12" ht="12.75">
      <c r="A5" s="1" t="s">
        <v>17</v>
      </c>
      <c r="B5" s="1" t="s">
        <v>18</v>
      </c>
      <c r="C5" s="1">
        <v>800</v>
      </c>
      <c r="D5" s="1">
        <v>20</v>
      </c>
      <c r="E5" s="1">
        <v>4</v>
      </c>
      <c r="F5" s="1">
        <v>30</v>
      </c>
      <c r="G5" s="3">
        <f t="shared" si="0"/>
        <v>40</v>
      </c>
      <c r="H5" s="3" t="b">
        <f t="shared" si="1"/>
        <v>0</v>
      </c>
      <c r="I5" s="3" t="str">
        <f t="shared" si="2"/>
        <v>Critical Stockout</v>
      </c>
      <c r="K5" s="4" t="s">
        <v>16</v>
      </c>
      <c r="L5" s="5">
        <f>COUNTIF(I2:I21, "Reorder Now")</f>
        <v>9</v>
      </c>
    </row>
    <row r="6" spans="1:12" ht="12.75">
      <c r="A6" s="1" t="s">
        <v>20</v>
      </c>
      <c r="B6" s="1" t="s">
        <v>13</v>
      </c>
      <c r="C6" s="1">
        <v>300</v>
      </c>
      <c r="D6" s="1">
        <v>60</v>
      </c>
      <c r="E6" s="1">
        <v>2</v>
      </c>
      <c r="F6" s="1">
        <v>200</v>
      </c>
      <c r="G6" s="3">
        <f t="shared" si="0"/>
        <v>120</v>
      </c>
      <c r="H6" s="3" t="b">
        <f t="shared" si="1"/>
        <v>1</v>
      </c>
      <c r="I6" s="3" t="str">
        <f t="shared" si="2"/>
        <v>Reorder Now</v>
      </c>
      <c r="K6" s="4" t="s">
        <v>19</v>
      </c>
      <c r="L6" s="5">
        <f>COUNTIF(I2:I21, "Sufficient")</f>
        <v>0</v>
      </c>
    </row>
    <row r="7" spans="1:12">
      <c r="A7" s="1" t="s">
        <v>21</v>
      </c>
      <c r="B7" s="1" t="s">
        <v>10</v>
      </c>
      <c r="C7" s="1">
        <v>3500</v>
      </c>
      <c r="D7" s="1">
        <v>5</v>
      </c>
      <c r="E7" s="1">
        <v>8</v>
      </c>
      <c r="F7" s="1">
        <v>8</v>
      </c>
      <c r="G7" s="3">
        <f t="shared" si="0"/>
        <v>10</v>
      </c>
      <c r="H7" s="3" t="b">
        <f t="shared" si="1"/>
        <v>0</v>
      </c>
      <c r="I7" s="3" t="str">
        <f t="shared" si="2"/>
        <v>Critical Stockout</v>
      </c>
    </row>
    <row r="8" spans="1:12">
      <c r="A8" s="1" t="s">
        <v>22</v>
      </c>
      <c r="B8" s="1" t="s">
        <v>18</v>
      </c>
      <c r="C8" s="1">
        <v>600</v>
      </c>
      <c r="D8" s="1">
        <v>12</v>
      </c>
      <c r="E8" s="1">
        <v>5</v>
      </c>
      <c r="F8" s="1">
        <v>100</v>
      </c>
      <c r="G8" s="3">
        <f t="shared" si="0"/>
        <v>24</v>
      </c>
      <c r="H8" s="3" t="b">
        <f t="shared" si="1"/>
        <v>0</v>
      </c>
      <c r="I8" s="3" t="str">
        <f t="shared" si="2"/>
        <v>Reorder Now</v>
      </c>
    </row>
    <row r="9" spans="1:12">
      <c r="A9" s="1" t="s">
        <v>23</v>
      </c>
      <c r="B9" s="1" t="s">
        <v>13</v>
      </c>
      <c r="C9" s="1">
        <v>500</v>
      </c>
      <c r="D9" s="1">
        <v>35</v>
      </c>
      <c r="E9" s="1">
        <v>3</v>
      </c>
      <c r="F9" s="1">
        <v>25</v>
      </c>
      <c r="G9" s="3">
        <f t="shared" si="0"/>
        <v>70</v>
      </c>
      <c r="H9" s="3" t="b">
        <f t="shared" si="1"/>
        <v>0</v>
      </c>
      <c r="I9" s="3" t="str">
        <f t="shared" si="2"/>
        <v>Critical Stockout</v>
      </c>
    </row>
    <row r="10" spans="1:12">
      <c r="A10" s="1" t="s">
        <v>24</v>
      </c>
      <c r="B10" s="1" t="s">
        <v>10</v>
      </c>
      <c r="C10" s="1">
        <v>1800</v>
      </c>
      <c r="D10" s="1">
        <v>10</v>
      </c>
      <c r="E10" s="1">
        <v>6</v>
      </c>
      <c r="F10" s="1">
        <v>45</v>
      </c>
      <c r="G10" s="3">
        <f t="shared" si="0"/>
        <v>20</v>
      </c>
      <c r="H10" s="3" t="b">
        <f t="shared" si="1"/>
        <v>0</v>
      </c>
      <c r="I10" s="3" t="str">
        <f t="shared" si="2"/>
        <v>Reorder Now</v>
      </c>
    </row>
    <row r="11" spans="1:12">
      <c r="A11" s="1" t="s">
        <v>25</v>
      </c>
      <c r="B11" s="1" t="s">
        <v>18</v>
      </c>
      <c r="C11" s="1">
        <v>950</v>
      </c>
      <c r="D11" s="1">
        <v>18</v>
      </c>
      <c r="E11" s="1">
        <v>4</v>
      </c>
      <c r="F11" s="1">
        <v>15</v>
      </c>
      <c r="G11" s="3">
        <f t="shared" si="0"/>
        <v>36</v>
      </c>
      <c r="H11" s="3" t="b">
        <f t="shared" si="1"/>
        <v>0</v>
      </c>
      <c r="I11" s="3" t="str">
        <f t="shared" si="2"/>
        <v>Critical Stockout</v>
      </c>
    </row>
    <row r="12" spans="1:12">
      <c r="A12" s="1" t="s">
        <v>26</v>
      </c>
      <c r="B12" s="1" t="s">
        <v>13</v>
      </c>
      <c r="C12" s="1">
        <v>700</v>
      </c>
      <c r="D12" s="1">
        <v>25</v>
      </c>
      <c r="E12" s="1">
        <v>3</v>
      </c>
      <c r="F12" s="1">
        <v>80</v>
      </c>
      <c r="G12" s="3">
        <f t="shared" si="0"/>
        <v>50</v>
      </c>
      <c r="H12" s="3" t="b">
        <f t="shared" si="1"/>
        <v>0</v>
      </c>
      <c r="I12" s="3" t="str">
        <f t="shared" si="2"/>
        <v>Reorder Now</v>
      </c>
    </row>
    <row r="13" spans="1:12">
      <c r="A13" s="1" t="s">
        <v>27</v>
      </c>
      <c r="B13" s="1" t="s">
        <v>10</v>
      </c>
      <c r="C13" s="1">
        <v>4200</v>
      </c>
      <c r="D13" s="1">
        <v>4</v>
      </c>
      <c r="E13" s="1">
        <v>9</v>
      </c>
      <c r="F13" s="1">
        <v>5</v>
      </c>
      <c r="G13" s="3">
        <f t="shared" si="0"/>
        <v>8</v>
      </c>
      <c r="H13" s="3" t="b">
        <f t="shared" si="1"/>
        <v>0</v>
      </c>
      <c r="I13" s="3" t="str">
        <f t="shared" si="2"/>
        <v>Critical Stockout</v>
      </c>
    </row>
    <row r="14" spans="1:12">
      <c r="A14" s="1" t="s">
        <v>28</v>
      </c>
      <c r="B14" s="1" t="s">
        <v>18</v>
      </c>
      <c r="C14" s="1">
        <v>1100</v>
      </c>
      <c r="D14" s="1">
        <v>14</v>
      </c>
      <c r="E14" s="1">
        <v>5</v>
      </c>
      <c r="F14" s="1">
        <v>18</v>
      </c>
      <c r="G14" s="3">
        <f t="shared" si="0"/>
        <v>28</v>
      </c>
      <c r="H14" s="3" t="b">
        <f t="shared" si="1"/>
        <v>0</v>
      </c>
      <c r="I14" s="3" t="str">
        <f t="shared" si="2"/>
        <v>Critical Stockout</v>
      </c>
    </row>
    <row r="15" spans="1:12">
      <c r="A15" s="1" t="s">
        <v>29</v>
      </c>
      <c r="B15" s="1" t="s">
        <v>13</v>
      </c>
      <c r="C15" s="1">
        <v>350</v>
      </c>
      <c r="D15" s="1">
        <v>50</v>
      </c>
      <c r="E15" s="1">
        <v>2</v>
      </c>
      <c r="F15" s="1">
        <v>110</v>
      </c>
      <c r="G15" s="3">
        <f t="shared" si="0"/>
        <v>100</v>
      </c>
      <c r="H15" s="3" t="b">
        <f t="shared" si="1"/>
        <v>1</v>
      </c>
      <c r="I15" s="3" t="str">
        <f t="shared" si="2"/>
        <v>Reorder Now</v>
      </c>
    </row>
    <row r="16" spans="1:12">
      <c r="A16" s="1" t="s">
        <v>30</v>
      </c>
      <c r="B16" s="1" t="s">
        <v>10</v>
      </c>
      <c r="C16" s="1">
        <v>1500</v>
      </c>
      <c r="D16" s="1">
        <v>22</v>
      </c>
      <c r="E16" s="1">
        <v>6</v>
      </c>
      <c r="F16" s="1">
        <v>28</v>
      </c>
      <c r="G16" s="3">
        <f t="shared" si="0"/>
        <v>44</v>
      </c>
      <c r="H16" s="3" t="b">
        <f t="shared" si="1"/>
        <v>0</v>
      </c>
      <c r="I16" s="3" t="str">
        <f t="shared" si="2"/>
        <v>Critical Stockout</v>
      </c>
    </row>
    <row r="17" spans="1:9">
      <c r="A17" s="1" t="s">
        <v>31</v>
      </c>
      <c r="B17" s="1" t="s">
        <v>18</v>
      </c>
      <c r="C17" s="1">
        <v>750</v>
      </c>
      <c r="D17" s="1">
        <v>30</v>
      </c>
      <c r="E17" s="1">
        <v>4</v>
      </c>
      <c r="F17" s="1">
        <v>22</v>
      </c>
      <c r="G17" s="3">
        <f t="shared" si="0"/>
        <v>60</v>
      </c>
      <c r="H17" s="3" t="b">
        <f t="shared" si="1"/>
        <v>0</v>
      </c>
      <c r="I17" s="3" t="str">
        <f t="shared" si="2"/>
        <v>Critical Stockout</v>
      </c>
    </row>
    <row r="18" spans="1:9">
      <c r="A18" s="1" t="s">
        <v>32</v>
      </c>
      <c r="B18" s="1" t="s">
        <v>13</v>
      </c>
      <c r="C18" s="1">
        <v>850</v>
      </c>
      <c r="D18" s="1">
        <v>16</v>
      </c>
      <c r="E18" s="1">
        <v>3</v>
      </c>
      <c r="F18" s="1">
        <v>95</v>
      </c>
      <c r="G18" s="3">
        <f t="shared" si="0"/>
        <v>32</v>
      </c>
      <c r="H18" s="3" t="b">
        <f t="shared" si="1"/>
        <v>0</v>
      </c>
      <c r="I18" s="3" t="str">
        <f t="shared" si="2"/>
        <v>Reorder Now</v>
      </c>
    </row>
    <row r="19" spans="1:9">
      <c r="A19" s="1" t="s">
        <v>33</v>
      </c>
      <c r="B19" s="1" t="s">
        <v>10</v>
      </c>
      <c r="C19" s="1">
        <v>2900</v>
      </c>
      <c r="D19" s="1">
        <v>7</v>
      </c>
      <c r="E19" s="1">
        <v>7</v>
      </c>
      <c r="F19" s="1">
        <v>60</v>
      </c>
      <c r="G19" s="3">
        <f t="shared" si="0"/>
        <v>14</v>
      </c>
      <c r="H19" s="3" t="b">
        <f t="shared" si="1"/>
        <v>0</v>
      </c>
      <c r="I19" s="3" t="str">
        <f t="shared" si="2"/>
        <v>Reorder Now</v>
      </c>
    </row>
    <row r="20" spans="1:9">
      <c r="A20" s="1" t="s">
        <v>34</v>
      </c>
      <c r="B20" s="1" t="s">
        <v>18</v>
      </c>
      <c r="C20" s="1">
        <v>1300</v>
      </c>
      <c r="D20" s="1">
        <v>11</v>
      </c>
      <c r="E20" s="1">
        <v>5</v>
      </c>
      <c r="F20" s="1">
        <v>40</v>
      </c>
      <c r="G20" s="3">
        <f t="shared" si="0"/>
        <v>22</v>
      </c>
      <c r="H20" s="3" t="b">
        <f t="shared" si="1"/>
        <v>0</v>
      </c>
      <c r="I20" s="3" t="str">
        <f t="shared" si="2"/>
        <v>Reorder Now</v>
      </c>
    </row>
    <row r="21" spans="1:9">
      <c r="A21" s="1" t="s">
        <v>35</v>
      </c>
      <c r="B21" s="1" t="s">
        <v>13</v>
      </c>
      <c r="C21" s="1">
        <v>400</v>
      </c>
      <c r="D21" s="1">
        <v>45</v>
      </c>
      <c r="E21" s="1">
        <v>2</v>
      </c>
      <c r="F21" s="1">
        <v>15</v>
      </c>
      <c r="G21" s="3">
        <f t="shared" si="0"/>
        <v>90</v>
      </c>
      <c r="H21" s="3" t="b">
        <f t="shared" si="1"/>
        <v>1</v>
      </c>
      <c r="I21" s="3" t="str">
        <f t="shared" si="2"/>
        <v>Critical Stockout</v>
      </c>
    </row>
  </sheetData>
  <customSheetViews>
    <customSheetView guid="{CDA6F17A-8541-4204-8FC5-6BC276177015}" filter="1" showAutoFilter="1">
      <pageMargins left="0.7" right="0.7" top="0.75" bottom="0.75" header="0.3" footer="0.3"/>
      <autoFilter ref="A1:I21" xr:uid="{00000000-0000-0000-0000-000000000000}"/>
    </customSheetView>
  </customSheetView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RAI</cp:lastModifiedBy>
  <dcterms:modified xsi:type="dcterms:W3CDTF">2026-08-29T10:13:16Z</dcterms:modified>
</cp:coreProperties>
</file>