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ms-excel.slicerCache+xml" PartName="/xl/slicerCaches/slicerCache1.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taiyaar karke do" sheetId="1" r:id="rId5"/>
  </sheets>
  <definedNames>
    <definedName hidden="1" localSheetId="0" name="Z_CDA6F17A_8541_4204_8FC5_6BC276177015_.wvu.FilterData">'sheet taiyaar karke do'!$A$1:$I$21</definedName>
    <definedName name="SlicerCache_Table_1_Col_2">#N/A</definedName>
  </definedNames>
  <calcPr/>
  <customWorkbookViews>
    <customWorkbookView activeSheetId="0" maximized="1" windowHeight="0" windowWidth="0" guid="{CDA6F17A-8541-4204-8FC5-6BC276177015}" name="Filter 1"/>
  </customWorkbookViews>
  <extLst>
    <ext uri="{46BE6895-7355-4a93-B00E-2C351335B9C9}">
      <x15:slicerCaches>
        <x14:slicerCache r:id="rId6"/>
      </x15:slicerCaches>
    </ext>
  </extLst>
</workbook>
</file>

<file path=xl/sharedStrings.xml><?xml version="1.0" encoding="utf-8"?>
<sst xmlns="http://schemas.openxmlformats.org/spreadsheetml/2006/main" count="53" uniqueCount="36">
  <si>
    <t>Item_ID</t>
  </si>
  <si>
    <t>Product_Category</t>
  </si>
  <si>
    <t>Unit_Cost_INR</t>
  </si>
  <si>
    <t>Daily_Sales_Units</t>
  </si>
  <si>
    <t>Lead_Time_Days</t>
  </si>
  <si>
    <t>Current_Stock_Units</t>
  </si>
  <si>
    <t>Safety_Stock</t>
  </si>
  <si>
    <t>Reorder_Point</t>
  </si>
  <si>
    <t>Stock_Status</t>
  </si>
  <si>
    <t>SK-201</t>
  </si>
  <si>
    <t>Electronics</t>
  </si>
  <si>
    <t>Total Inventory Value (INR)</t>
  </si>
  <si>
    <t>SK-202</t>
  </si>
  <si>
    <t>Fashion</t>
  </si>
  <si>
    <t>Critical Stockout Items</t>
  </si>
  <si>
    <t>SK-203</t>
  </si>
  <si>
    <t>Reorder Needed Items</t>
  </si>
  <si>
    <t>SK-204</t>
  </si>
  <si>
    <t>Home &amp; Kitchen</t>
  </si>
  <si>
    <t>Sufficient Stock Items</t>
  </si>
  <si>
    <t>SK-205</t>
  </si>
  <si>
    <t>SK-206</t>
  </si>
  <si>
    <t>SK-207</t>
  </si>
  <si>
    <t>SK-208</t>
  </si>
  <si>
    <t>SK-209</t>
  </si>
  <si>
    <t>SK-210</t>
  </si>
  <si>
    <t>SK-211</t>
  </si>
  <si>
    <t>SK-212</t>
  </si>
  <si>
    <t>SK-213</t>
  </si>
  <si>
    <t>SK-214</t>
  </si>
  <si>
    <t>SK-215</t>
  </si>
  <si>
    <t>SK-216</t>
  </si>
  <si>
    <t>SK-217</t>
  </si>
  <si>
    <t>SK-218</t>
  </si>
  <si>
    <t>SK-219</t>
  </si>
  <si>
    <t>SK-220</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</si>
</sst>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color theme="1"/>
      <name val="Arial"/>
      <scheme val="minor"/>
    </font>
    <font>
      <color rgb="FF1F1F1F"/>
      <name val="&quot;Google Sans Text&quot;"/>
    </font>
    <font>
      <b/>
      <color rgb="FF1F1F1F"/>
      <name val="&quot;Google Sans Text&quot;"/>
    </font>
    <font>
      <color rgb="FF444746"/>
      <name val="&quot;Google Sans Text&quot;"/>
    </font>
  </fonts>
  <fills count="2">
    <fill>
      <patternFill patternType="none"/>
    </fill>
    <fill>
      <patternFill patternType="lightGray"/>
    </fill>
  </fills>
  <borders count="1">
    <border/>
  </borders>
  <cellStyleXfs count="1">
    <xf borderId="0" fillId="0" fontId="0" numFmtId="0" applyAlignment="1" applyFont="1"/>
  </cellStyleXfs>
  <cellXfs count="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1" numFmtId="0" xfId="0" applyFont="1"/>
    <xf borderId="0" fillId="0" fontId="3" numFmtId="0" xfId="0" applyAlignment="1" applyFont="1">
      <alignment readingOrder="0"/>
    </xf>
    <xf borderId="0" fillId="0" fontId="4" numFmtId="0" xfId="0" applyFont="1"/>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microsoft.com/office/2007/relationships/slicerCache" Target="slicerCaches/slicerCache1.xml"/></Relationships>
</file>

<file path=xl/drawings/_rels/drawing1.xml.rels><?xml version="1.0" encoding="UTF-8" standalone="yes"?><Relationships xmlns="http://schemas.openxmlformats.org/package/2006/relationships"><Relationship Id="rId1" Type="http://schemas.openxmlformats.org/officeDocument/2006/relationships/image" Target="../media/Chart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447675</xdr:colOff>
      <xdr:row>8</xdr:row>
      <xdr:rowOff>47625</xdr:rowOff>
    </xdr:from>
    <xdr:ext cx="5715000" cy="3533775"/>
    <xdr:pic>
      <xdr:nvPicPr>
        <xdr:cNvPr id="591515662" name="Chart1"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10</xdr:col>
      <xdr:colOff>838200</xdr:colOff>
      <xdr:row>5</xdr:row>
      <xdr:rowOff>95250</xdr:rowOff>
    </xdr:from>
    <xdr:ext cx="2857500" cy="2857500"/>
    <mc:AlternateContent>
      <mc:Choice Requires="sle15">
        <xdr:graphicFrame>
          <xdr:nvGraphicFramePr>
            <xdr:cNvPr id="1" name="Product_Category_1"/>
            <xdr:cNvGraphicFramePr/>
          </xdr:nvGraphicFramePr>
          <xdr:xfrm>
            <a:off x="0" y="0"/>
            <a:ext cx="0" cy="0"/>
          </xdr:xfrm>
          <a:graphic>
            <a:graphicData uri="http://schemas.microsoft.com/office/drawing/2010/slicer">
              <x3Unk:slicer name="Product_Category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persons/person.xml><?xml version="1.0" encoding="utf-8"?>
<x18tc:personList xmlns:x18tc="http://schemas.microsoft.com/office/spreadsheetml/2018/threadedcomments"/>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2" sourceName="Product_Category">
  <x14:extLst>
    <ext uri="{2F2917AC-EB37-4324-AD4E-5DD8C200BD13}">
      <x15:tableSlicerCache tableId="1" column="2"/>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Product_Category_1" cache="SlicerCache_Table_1_Col_2" caption="Product_Category" rowHeight="247650"/>
</x14:slicers>
</file>

<file path=xl/tables/table1.xml><?xml version="1.0" encoding="utf-8"?>
<table xmlns="http://schemas.openxmlformats.org/spreadsheetml/2006/main" ref="A1:I21" displayName="Table_1" name="Table_1" id="1">
  <autoFilter ref="$A$1:$I$21"/>
  <tableColumns count="9">
    <tableColumn name="Item_ID" id="1"/>
    <tableColumn name="Product_Category" id="2"/>
    <tableColumn name="Unit_Cost_INR" id="3"/>
    <tableColumn name="Daily_Sales_Units" id="4"/>
    <tableColumn name="Lead_Time_Days" id="5"/>
    <tableColumn name="Current_Stock_Units" id="6"/>
    <tableColumn name="Safety_Stock" id="7"/>
    <tableColumn name="Reorder_Point" id="8"/>
    <tableColumn name="Stock_Status" id="9"/>
  </tableColumns>
  <tableStyleInfo showColumnStripes="0" showFirstColumn="0" showLastColumn="0" showRow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26.0"/>
    <col customWidth="1" min="12" max="12" width="25.13"/>
    <col customWidth="1" min="13" max="13" width="21.38"/>
    <col customWidth="1" min="14" max="14" width="20.13"/>
  </cols>
  <sheetData>
    <row r="1">
      <c r="A1" s="1" t="s">
        <v>0</v>
      </c>
      <c r="B1" s="1" t="s">
        <v>1</v>
      </c>
      <c r="C1" s="1" t="s">
        <v>2</v>
      </c>
      <c r="D1" s="1" t="s">
        <v>3</v>
      </c>
      <c r="E1" s="1" t="s">
        <v>4</v>
      </c>
      <c r="F1" s="1" t="s">
        <v>5</v>
      </c>
      <c r="G1" s="1" t="s">
        <v>6</v>
      </c>
      <c r="H1" s="1" t="s">
        <v>7</v>
      </c>
      <c r="I1" s="1" t="s">
        <v>8</v>
      </c>
      <c r="K1" s="2"/>
      <c r="L1" s="2"/>
    </row>
    <row r="2">
      <c r="A2" s="1" t="s">
        <v>9</v>
      </c>
      <c r="B2" s="1" t="s">
        <v>10</v>
      </c>
      <c r="C2" s="1">
        <v>1200.0</v>
      </c>
      <c r="D2" s="1">
        <v>15.0</v>
      </c>
      <c r="E2" s="1">
        <v>5.0</v>
      </c>
      <c r="F2" s="1">
        <v>20.0</v>
      </c>
      <c r="G2" s="3">
        <f t="shared" ref="G2:G21" si="1">D2*2</f>
        <v>30</v>
      </c>
      <c r="H2" s="3" t="b">
        <f t="shared" ref="H2:H21" si="2">(D2*E2)=G2</f>
        <v>0</v>
      </c>
      <c r="I2" s="3" t="str">
        <f t="shared" ref="I2:I21" si="3">IF(F2&lt;G2, "Critical Stockout", IF(F2&lt;=H2, "Reorder Now", "Sufficient"))</f>
        <v>Critical Stockout</v>
      </c>
      <c r="K2" s="4" t="s">
        <v>11</v>
      </c>
      <c r="L2" s="5">
        <f>SUMPRODUCT(C2:C21, F2:F21)</f>
        <v>907800</v>
      </c>
    </row>
    <row r="3">
      <c r="A3" s="1" t="s">
        <v>12</v>
      </c>
      <c r="B3" s="1" t="s">
        <v>13</v>
      </c>
      <c r="C3" s="1">
        <v>450.0</v>
      </c>
      <c r="D3" s="1">
        <v>40.0</v>
      </c>
      <c r="E3" s="1">
        <v>3.0</v>
      </c>
      <c r="F3" s="1">
        <v>150.0</v>
      </c>
      <c r="G3" s="3">
        <f t="shared" si="1"/>
        <v>80</v>
      </c>
      <c r="H3" s="3" t="b">
        <f t="shared" si="2"/>
        <v>0</v>
      </c>
      <c r="I3" s="3" t="str">
        <f t="shared" si="3"/>
        <v>Reorder Now</v>
      </c>
      <c r="K3" s="4" t="s">
        <v>14</v>
      </c>
      <c r="L3" s="5">
        <f>COUNTIF(I2:I21, "Critical Stockout")</f>
        <v>11</v>
      </c>
    </row>
    <row r="4">
      <c r="A4" s="1" t="s">
        <v>15</v>
      </c>
      <c r="B4" s="1" t="s">
        <v>10</v>
      </c>
      <c r="C4" s="1">
        <v>2500.0</v>
      </c>
      <c r="D4" s="1">
        <v>8.0</v>
      </c>
      <c r="E4" s="1">
        <v>7.0</v>
      </c>
      <c r="F4" s="1">
        <v>12.0</v>
      </c>
      <c r="G4" s="3">
        <f t="shared" si="1"/>
        <v>16</v>
      </c>
      <c r="H4" s="3" t="b">
        <f t="shared" si="2"/>
        <v>0</v>
      </c>
      <c r="I4" s="3" t="str">
        <f t="shared" si="3"/>
        <v>Critical Stockout</v>
      </c>
      <c r="K4" s="4" t="s">
        <v>16</v>
      </c>
      <c r="L4" s="5">
        <f>COUNTIF(I2:I21, "Reorder Now")</f>
        <v>9</v>
      </c>
    </row>
    <row r="5">
      <c r="A5" s="1" t="s">
        <v>17</v>
      </c>
      <c r="B5" s="1" t="s">
        <v>18</v>
      </c>
      <c r="C5" s="1">
        <v>800.0</v>
      </c>
      <c r="D5" s="1">
        <v>20.0</v>
      </c>
      <c r="E5" s="1">
        <v>4.0</v>
      </c>
      <c r="F5" s="1">
        <v>30.0</v>
      </c>
      <c r="G5" s="3">
        <f t="shared" si="1"/>
        <v>40</v>
      </c>
      <c r="H5" s="3" t="b">
        <f t="shared" si="2"/>
        <v>0</v>
      </c>
      <c r="I5" s="3" t="str">
        <f t="shared" si="3"/>
        <v>Critical Stockout</v>
      </c>
      <c r="K5" s="4" t="s">
        <v>19</v>
      </c>
      <c r="L5" s="5">
        <f>COUNTIF(I2:I21, "Sufficient")</f>
        <v>0</v>
      </c>
    </row>
    <row r="6">
      <c r="A6" s="1" t="s">
        <v>20</v>
      </c>
      <c r="B6" s="1" t="s">
        <v>13</v>
      </c>
      <c r="C6" s="1">
        <v>300.0</v>
      </c>
      <c r="D6" s="1">
        <v>60.0</v>
      </c>
      <c r="E6" s="1">
        <v>2.0</v>
      </c>
      <c r="F6" s="1">
        <v>200.0</v>
      </c>
      <c r="G6" s="3">
        <f t="shared" si="1"/>
        <v>120</v>
      </c>
      <c r="H6" s="3" t="b">
        <f t="shared" si="2"/>
        <v>1</v>
      </c>
      <c r="I6" s="3" t="str">
        <f t="shared" si="3"/>
        <v>Reorder Now</v>
      </c>
    </row>
    <row r="7">
      <c r="A7" s="1" t="s">
        <v>21</v>
      </c>
      <c r="B7" s="1" t="s">
        <v>10</v>
      </c>
      <c r="C7" s="1">
        <v>3500.0</v>
      </c>
      <c r="D7" s="1">
        <v>5.0</v>
      </c>
      <c r="E7" s="1">
        <v>8.0</v>
      </c>
      <c r="F7" s="1">
        <v>8.0</v>
      </c>
      <c r="G7" s="3">
        <f t="shared" si="1"/>
        <v>10</v>
      </c>
      <c r="H7" s="3" t="b">
        <f t="shared" si="2"/>
        <v>0</v>
      </c>
      <c r="I7" s="3" t="str">
        <f t="shared" si="3"/>
        <v>Critical Stockout</v>
      </c>
    </row>
    <row r="8">
      <c r="A8" s="1" t="s">
        <v>22</v>
      </c>
      <c r="B8" s="1" t="s">
        <v>18</v>
      </c>
      <c r="C8" s="1">
        <v>600.0</v>
      </c>
      <c r="D8" s="1">
        <v>12.0</v>
      </c>
      <c r="E8" s="1">
        <v>5.0</v>
      </c>
      <c r="F8" s="1">
        <v>100.0</v>
      </c>
      <c r="G8" s="3">
        <f t="shared" si="1"/>
        <v>24</v>
      </c>
      <c r="H8" s="3" t="b">
        <f t="shared" si="2"/>
        <v>0</v>
      </c>
      <c r="I8" s="3" t="str">
        <f t="shared" si="3"/>
        <v>Reorder Now</v>
      </c>
    </row>
    <row r="9">
      <c r="A9" s="1" t="s">
        <v>23</v>
      </c>
      <c r="B9" s="1" t="s">
        <v>13</v>
      </c>
      <c r="C9" s="1">
        <v>500.0</v>
      </c>
      <c r="D9" s="1">
        <v>35.0</v>
      </c>
      <c r="E9" s="1">
        <v>3.0</v>
      </c>
      <c r="F9" s="1">
        <v>25.0</v>
      </c>
      <c r="G9" s="3">
        <f t="shared" si="1"/>
        <v>70</v>
      </c>
      <c r="H9" s="3" t="b">
        <f t="shared" si="2"/>
        <v>0</v>
      </c>
      <c r="I9" s="3" t="str">
        <f t="shared" si="3"/>
        <v>Critical Stockout</v>
      </c>
    </row>
    <row r="10">
      <c r="A10" s="1" t="s">
        <v>24</v>
      </c>
      <c r="B10" s="1" t="s">
        <v>10</v>
      </c>
      <c r="C10" s="1">
        <v>1800.0</v>
      </c>
      <c r="D10" s="1">
        <v>10.0</v>
      </c>
      <c r="E10" s="1">
        <v>6.0</v>
      </c>
      <c r="F10" s="1">
        <v>45.0</v>
      </c>
      <c r="G10" s="3">
        <f t="shared" si="1"/>
        <v>20</v>
      </c>
      <c r="H10" s="3" t="b">
        <f t="shared" si="2"/>
        <v>0</v>
      </c>
      <c r="I10" s="3" t="str">
        <f t="shared" si="3"/>
        <v>Reorder Now</v>
      </c>
    </row>
    <row r="11">
      <c r="A11" s="1" t="s">
        <v>25</v>
      </c>
      <c r="B11" s="1" t="s">
        <v>18</v>
      </c>
      <c r="C11" s="1">
        <v>950.0</v>
      </c>
      <c r="D11" s="1">
        <v>18.0</v>
      </c>
      <c r="E11" s="1">
        <v>4.0</v>
      </c>
      <c r="F11" s="1">
        <v>15.0</v>
      </c>
      <c r="G11" s="3">
        <f t="shared" si="1"/>
        <v>36</v>
      </c>
      <c r="H11" s="3" t="b">
        <f t="shared" si="2"/>
        <v>0</v>
      </c>
      <c r="I11" s="3" t="str">
        <f t="shared" si="3"/>
        <v>Critical Stockout</v>
      </c>
    </row>
    <row r="12">
      <c r="A12" s="1" t="s">
        <v>26</v>
      </c>
      <c r="B12" s="1" t="s">
        <v>13</v>
      </c>
      <c r="C12" s="1">
        <v>700.0</v>
      </c>
      <c r="D12" s="1">
        <v>25.0</v>
      </c>
      <c r="E12" s="1">
        <v>3.0</v>
      </c>
      <c r="F12" s="1">
        <v>80.0</v>
      </c>
      <c r="G12" s="3">
        <f t="shared" si="1"/>
        <v>50</v>
      </c>
      <c r="H12" s="3" t="b">
        <f t="shared" si="2"/>
        <v>0</v>
      </c>
      <c r="I12" s="3" t="str">
        <f t="shared" si="3"/>
        <v>Reorder Now</v>
      </c>
    </row>
    <row r="13">
      <c r="A13" s="1" t="s">
        <v>27</v>
      </c>
      <c r="B13" s="1" t="s">
        <v>10</v>
      </c>
      <c r="C13" s="1">
        <v>4200.0</v>
      </c>
      <c r="D13" s="1">
        <v>4.0</v>
      </c>
      <c r="E13" s="1">
        <v>9.0</v>
      </c>
      <c r="F13" s="1">
        <v>5.0</v>
      </c>
      <c r="G13" s="3">
        <f t="shared" si="1"/>
        <v>8</v>
      </c>
      <c r="H13" s="3" t="b">
        <f t="shared" si="2"/>
        <v>0</v>
      </c>
      <c r="I13" s="3" t="str">
        <f t="shared" si="3"/>
        <v>Critical Stockout</v>
      </c>
    </row>
    <row r="14">
      <c r="A14" s="1" t="s">
        <v>28</v>
      </c>
      <c r="B14" s="1" t="s">
        <v>18</v>
      </c>
      <c r="C14" s="1">
        <v>1100.0</v>
      </c>
      <c r="D14" s="1">
        <v>14.0</v>
      </c>
      <c r="E14" s="1">
        <v>5.0</v>
      </c>
      <c r="F14" s="1">
        <v>18.0</v>
      </c>
      <c r="G14" s="3">
        <f t="shared" si="1"/>
        <v>28</v>
      </c>
      <c r="H14" s="3" t="b">
        <f t="shared" si="2"/>
        <v>0</v>
      </c>
      <c r="I14" s="3" t="str">
        <f t="shared" si="3"/>
        <v>Critical Stockout</v>
      </c>
    </row>
    <row r="15">
      <c r="A15" s="1" t="s">
        <v>29</v>
      </c>
      <c r="B15" s="1" t="s">
        <v>13</v>
      </c>
      <c r="C15" s="1">
        <v>350.0</v>
      </c>
      <c r="D15" s="1">
        <v>50.0</v>
      </c>
      <c r="E15" s="1">
        <v>2.0</v>
      </c>
      <c r="F15" s="1">
        <v>110.0</v>
      </c>
      <c r="G15" s="3">
        <f t="shared" si="1"/>
        <v>100</v>
      </c>
      <c r="H15" s="3" t="b">
        <f t="shared" si="2"/>
        <v>1</v>
      </c>
      <c r="I15" s="3" t="str">
        <f t="shared" si="3"/>
        <v>Reorder Now</v>
      </c>
    </row>
    <row r="16">
      <c r="A16" s="1" t="s">
        <v>30</v>
      </c>
      <c r="B16" s="1" t="s">
        <v>10</v>
      </c>
      <c r="C16" s="1">
        <v>1500.0</v>
      </c>
      <c r="D16" s="1">
        <v>22.0</v>
      </c>
      <c r="E16" s="1">
        <v>6.0</v>
      </c>
      <c r="F16" s="1">
        <v>28.0</v>
      </c>
      <c r="G16" s="3">
        <f t="shared" si="1"/>
        <v>44</v>
      </c>
      <c r="H16" s="3" t="b">
        <f t="shared" si="2"/>
        <v>0</v>
      </c>
      <c r="I16" s="3" t="str">
        <f t="shared" si="3"/>
        <v>Critical Stockout</v>
      </c>
    </row>
    <row r="17">
      <c r="A17" s="1" t="s">
        <v>31</v>
      </c>
      <c r="B17" s="1" t="s">
        <v>18</v>
      </c>
      <c r="C17" s="1">
        <v>750.0</v>
      </c>
      <c r="D17" s="1">
        <v>30.0</v>
      </c>
      <c r="E17" s="1">
        <v>4.0</v>
      </c>
      <c r="F17" s="1">
        <v>22.0</v>
      </c>
      <c r="G17" s="3">
        <f t="shared" si="1"/>
        <v>60</v>
      </c>
      <c r="H17" s="3" t="b">
        <f t="shared" si="2"/>
        <v>0</v>
      </c>
      <c r="I17" s="3" t="str">
        <f t="shared" si="3"/>
        <v>Critical Stockout</v>
      </c>
    </row>
    <row r="18">
      <c r="A18" s="1" t="s">
        <v>32</v>
      </c>
      <c r="B18" s="1" t="s">
        <v>13</v>
      </c>
      <c r="C18" s="1">
        <v>850.0</v>
      </c>
      <c r="D18" s="1">
        <v>16.0</v>
      </c>
      <c r="E18" s="1">
        <v>3.0</v>
      </c>
      <c r="F18" s="1">
        <v>95.0</v>
      </c>
      <c r="G18" s="3">
        <f t="shared" si="1"/>
        <v>32</v>
      </c>
      <c r="H18" s="3" t="b">
        <f t="shared" si="2"/>
        <v>0</v>
      </c>
      <c r="I18" s="3" t="str">
        <f t="shared" si="3"/>
        <v>Reorder Now</v>
      </c>
    </row>
    <row r="19">
      <c r="A19" s="1" t="s">
        <v>33</v>
      </c>
      <c r="B19" s="1" t="s">
        <v>10</v>
      </c>
      <c r="C19" s="1">
        <v>2900.0</v>
      </c>
      <c r="D19" s="1">
        <v>7.0</v>
      </c>
      <c r="E19" s="1">
        <v>7.0</v>
      </c>
      <c r="F19" s="1">
        <v>60.0</v>
      </c>
      <c r="G19" s="3">
        <f t="shared" si="1"/>
        <v>14</v>
      </c>
      <c r="H19" s="3" t="b">
        <f t="shared" si="2"/>
        <v>0</v>
      </c>
      <c r="I19" s="3" t="str">
        <f t="shared" si="3"/>
        <v>Reorder Now</v>
      </c>
    </row>
    <row r="20">
      <c r="A20" s="1" t="s">
        <v>34</v>
      </c>
      <c r="B20" s="1" t="s">
        <v>18</v>
      </c>
      <c r="C20" s="1">
        <v>1300.0</v>
      </c>
      <c r="D20" s="1">
        <v>11.0</v>
      </c>
      <c r="E20" s="1">
        <v>5.0</v>
      </c>
      <c r="F20" s="1">
        <v>40.0</v>
      </c>
      <c r="G20" s="3">
        <f t="shared" si="1"/>
        <v>22</v>
      </c>
      <c r="H20" s="3" t="b">
        <f t="shared" si="2"/>
        <v>0</v>
      </c>
      <c r="I20" s="3" t="str">
        <f t="shared" si="3"/>
        <v>Reorder Now</v>
      </c>
    </row>
    <row r="21">
      <c r="A21" s="1" t="s">
        <v>35</v>
      </c>
      <c r="B21" s="1" t="s">
        <v>13</v>
      </c>
      <c r="C21" s="1">
        <v>400.0</v>
      </c>
      <c r="D21" s="1">
        <v>45.0</v>
      </c>
      <c r="E21" s="1">
        <v>2.0</v>
      </c>
      <c r="F21" s="1">
        <v>15.0</v>
      </c>
      <c r="G21" s="3">
        <f t="shared" si="1"/>
        <v>90</v>
      </c>
      <c r="H21" s="3" t="b">
        <f t="shared" si="2"/>
        <v>1</v>
      </c>
      <c r="I21" s="3" t="str">
        <f t="shared" si="3"/>
        <v>Critical Stockout</v>
      </c>
    </row>
  </sheetData>
  <customSheetViews>
    <customSheetView guid="{CDA6F17A-8541-4204-8FC5-6BC276177015}" filter="1" showAutoFilter="1">
      <autoFilter ref="$A$1:$I$21"/>
    </customSheetView>
  </customSheetViews>
  <drawing r:id="rId1"/>
  <tableParts count="1">
    <tablePart r:id="rId3"/>
  </tableParts>
  <extLst>
    <ext uri="{3A4CF648-6AED-40f4-86FF-DC5316D8AED3}">
      <x14:slicerList>
        <x14:slicer r:id="rId4"/>
      </x14:slicerList>
    </ext>
  </extLst>
</worksheet>
</file>